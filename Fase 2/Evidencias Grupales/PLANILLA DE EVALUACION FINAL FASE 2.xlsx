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23\"/>
    </mc:Choice>
  </mc:AlternateContent>
  <xr:revisionPtr revIDLastSave="0" documentId="13_ncr:1_{ABBE1E92-8A1D-417A-89CF-2D0C922F58FC}"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E18" i="1"/>
  <c r="F19" i="1"/>
  <c r="G19" i="1" s="1"/>
  <c r="D19" i="1" l="1"/>
  <c r="E19" i="1" s="1"/>
  <c r="H19" i="1"/>
  <c r="I19" i="1" s="1"/>
  <c r="J19" i="1"/>
  <c r="K19" i="1" s="1"/>
  <c r="F16" i="1"/>
  <c r="G16" i="1" s="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<sst xmlns="http://schemas.openxmlformats.org/spreadsheetml/2006/main" count="142" uniqueCount="82">
  <si>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</si>
  <si>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</si>
  <si>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</si>
  <si>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</si>
  <si>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</si>
  <si>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</si>
  <si>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</si>
  <si>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</si>
  <si>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</si>
  <si>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</si>
  <si>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</si>
  <si>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</si>
  <si>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</si>
  <si>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</si>
  <si>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</si>
  <si>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</si>
  <si>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</si>
  <si>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</si>
  <si>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</si>
  <si>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</si>
  <si>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</si>
  <si>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</si>
  <si>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</si>
  <si>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</si>
  <si>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</si>
  <si>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</si>
  <si>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</si>
  <si>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</si>
  <si>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</si>
  <si>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</si>
  <si>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</si>
  <si>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</si>
  <si>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</si>
  <si>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</si>
  <si>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</si>
  <si>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</si>
  <si>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</si>
  <si>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</si>
  <si>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</si>
  <si>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</si>
  <si>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</si>
  <si>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</si>
  <si>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</si>
  <si>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</si>
  <si>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</si>
  <si>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</si>
  <si>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</si>
  <si>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</si>
  <si>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</si>
  <si>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</si>
  <si>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</si>
  <si>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</si>
  <si>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</si>
  <si>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</si>
  <si>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</si>
  <si>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</si>
  <si>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</si>
  <si>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</si>
  <si>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</si>
  <si>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</si>
  <si>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</si>
  <si>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</si>
  <si>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</si>
  <si>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</si>
  <si>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</si>
  <si>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</si>
  <si>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</si>
  <si>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</si>
  <si>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</si>
  <si>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</si>
  <si>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</si>
  <si>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</si>
  <si>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</si>
  <si>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</si>
  <si>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</si>
  <si>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</si>
  <si>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CID MOLINA MICHAEL JONATHAN</t>
  </si>
  <si>
    <t>PINO AGUILAR LUCIANO ALEJANDRO</t>
  </si>
  <si>
    <t>VARGAS DINEN VANIA CONSTANZA</t>
  </si>
  <si>
    <t>X</t>
  </si>
  <si>
    <t xml:space="preserv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</si>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</sst>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33" sqref="B3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6.4</v>
      </c>
      <c r="D4" s="5">
        <f>$C$32</f>
        <v>5.8</v>
      </c>
      <c r="E4" s="6">
        <f>C4*C$2+D4*D$2</f>
        <v>6.2500000000000009</v>
      </c>
      <c r="G4" s="1"/>
    </row>
    <row r="5" spans="1:11" x14ac:dyDescent="0.25">
      <c r="A5" s="4">
        <v>2</v>
      </c>
      <c r="B5" s="72" t="s">
        <v>77</v>
      </c>
      <c r="C5" s="5">
        <f>EVALUACION1!$C$21</f>
        <v>6.4</v>
      </c>
      <c r="D5" s="5">
        <f>C44</f>
        <v>7</v>
      </c>
      <c r="E5" s="6">
        <f t="shared" ref="E5:E6" si="0">C5*C$2+D5*D$2</f>
        <v>6.5500000000000007</v>
      </c>
      <c r="G5" s="1"/>
    </row>
    <row r="6" spans="1:11" x14ac:dyDescent="0.25">
      <c r="A6" s="4">
        <v>3</v>
      </c>
      <c r="B6" s="72" t="s">
        <v>78</v>
      </c>
      <c r="C6" s="5">
        <f>EVALUACION1!$C$21</f>
        <v>6.4</v>
      </c>
      <c r="D6" s="5">
        <f>C55</f>
        <v>7</v>
      </c>
      <c r="E6" s="6">
        <f t="shared" si="0"/>
        <v>6.5500000000000007</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
        <v>80</v>
      </c>
      <c r="E18" s="16" t="str">
        <f>IF(D18="X",100*0.15,"")</f>
        <v/>
      </c>
      <c r="F18" s="16" t="s">
        <v>79</v>
      </c>
      <c r="G18" s="16">
        <f>IF(F18="X",60*0.15,"")</f>
        <v>9</v>
      </c>
      <c r="H18" s="16" t="str">
        <f>IF($C18=ML,"X","")</f>
        <v/>
      </c>
      <c r="I18" s="16" t="str">
        <f>IF(H18="X",30*0.15,"")</f>
        <v/>
      </c>
      <c r="J18" s="16" t="str">
        <f>IF($C18=NL,"X","")</f>
        <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4"/>
      <c r="B20" s="28" t="s">
        <v>66</v>
      </c>
      <c r="C20" s="32">
        <f>E20+G20+I20+K20</f>
        <v>69</v>
      </c>
      <c r="D20" s="19"/>
      <c r="E20" s="19">
        <f>SUM(E13:E19)</f>
        <v>60</v>
      </c>
      <c r="F20" s="19"/>
      <c r="G20" s="19">
        <f>SUM(G13:G19)</f>
        <v>9</v>
      </c>
      <c r="H20" s="19"/>
      <c r="I20" s="19">
        <f>SUM(I13:I19)</f>
        <v>0</v>
      </c>
      <c r="J20" s="19"/>
      <c r="K20" s="19">
        <f>SUM(K13:K19)</f>
        <v>0</v>
      </c>
    </row>
    <row r="21" spans="1:11" ht="15.75" customHeight="1" outlineLevel="1" x14ac:dyDescent="0.3">
      <c r="A21" s="53"/>
      <c r="B21" s="31" t="s">
        <v>67</v>
      </c>
      <c r="C21" s="20">
        <f>VLOOKUP(C20,ESCALA_IEP!A1:B152,2,FALSE)</f>
        <v>6.4</v>
      </c>
    </row>
    <row r="22" spans="1:11" ht="15.75" customHeight="1" x14ac:dyDescent="0.25"/>
    <row r="23" spans="1:11" ht="15.75" customHeight="1" x14ac:dyDescent="0.25"/>
    <row r="24" spans="1:11" ht="15.75" customHeight="1" x14ac:dyDescent="0.25">
      <c r="A24" s="63" t="s">
        <v>59</v>
      </c>
      <c r="B24" s="52" t="s">
        <v>68</v>
      </c>
      <c r="C24" s="55" t="str">
        <f>$B$4</f>
        <v>CID MOLINA MICHAEL JONATHAN</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
        <v>80</v>
      </c>
      <c r="E29" s="16" t="str">
        <f>IF(D29="X",100*0.1,"")</f>
        <v/>
      </c>
      <c r="F29" s="16" t="s">
        <v>81</v>
      </c>
      <c r="G29" s="16">
        <f>IF(F29="X",60*0.1,"")</f>
        <v>6</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3"/>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PINO AGUILAR LUCIANO ALEJANDRO</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VARGAS DINEN VANIA CONSTANZA</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2025-11-26T22:53:03Z</dcterms:modified>
  <cp:category/>
  <cp:contentStatus/>
</cp:coreProperties>
</file>